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<sst xmlns="http://schemas.openxmlformats.org/spreadsheetml/2006/main" count="44" uniqueCount="35">
  <si>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 xml:space="preserve">SKU</t>
  </si>
  <si>
    <t xml:space="preserve">Track No</t>
  </si>
  <si>
    <t xml:space="preserve">Category</t>
  </si>
  <si>
    <t xml:space="preserve">Design</t>
  </si>
  <si>
    <t xml:space="preserve">Size</t>
  </si>
  <si>
    <t xml:space="preserve">Color</t>
  </si>
  <si>
    <t xml:space="preserve">Quality</t>
  </si>
  <si>
    <t xml:space="preserve">Regular Price</t>
  </si>
  <si>
    <t xml:space="preserve">Discount %</t>
  </si>
  <si>
    <t xml:space="preserve">Sale Price</t>
  </si>
  <si>
    <t xml:space="preserve">Stock</t>
  </si>
  <si>
    <t xml:space="preserve">Room-Visualizer Eligible</t>
  </si>
  <si>
    <t xml:space="preserve">Product Name</t>
  </si>
  <si>
    <t xml:space="preserve">Short Description</t>
  </si>
  <si>
    <t xml:space="preserve">RUG-VK-GARNET-C012A</t>
  </si>
  <si>
    <t xml:space="preserve">Janemaz</t>
  </si>
  <si>
    <t xml:space="preserve">C012A</t>
  </si>
  <si>
    <t xml:space="preserve">80*120R</t>
  </si>
  <si>
    <t xml:space="preserve">Mustard Gold</t>
  </si>
  <si>
    <t xml:space="preserve">NEW GRANET</t>
  </si>
  <si>
    <t xml:space="preserve">7k</t>
  </si>
  <si>
    <t xml:space="preserve">5k</t>
  </si>
  <si>
    <t xml:space="preserve">Granet Mustard Gold Arch Prayer Mat</t>
  </si>
  <si>
    <t xml:space="preserve">Rich mustard-gold prayer mat with a classic mihrab arch and red-cream floral border.</t>
  </si>
  <si>
    <t xml:space="preserve">RUG-VK-GARNET-U021A</t>
  </si>
  <si>
    <t xml:space="preserve">U021A</t>
  </si>
  <si>
    <t xml:space="preserve">Ivory Beige</t>
  </si>
  <si>
    <t xml:space="preserve">GRANET</t>
  </si>
  <si>
    <t xml:space="preserve">Granet Ivory Beige Mihrab Prayer Mat</t>
  </si>
  <si>
    <t xml:space="preserve">Elegant ivory-beige prayer mat featuring an intricate mihrab design with warm floral trim.</t>
  </si>
  <si>
    <t xml:space="preserve">RUG-VK-GARNET-U021B</t>
  </si>
  <si>
    <t xml:space="preserve">U021B</t>
  </si>
  <si>
    <t xml:space="preserve">Navy Blue</t>
  </si>
  <si>
    <t xml:space="preserve">Granet Navy Blue Lattice Prayer Mat</t>
  </si>
  <si>
    <t xml:space="preserve">Deep navy prayer mat with a gold lattice pattern and richly detailed mihrab arch border.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</si>
</sst>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7D31"/>
        <bgColor rgb="FFFF808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2" min="12" style="0" width="18"/>
    <col collapsed="false" customWidth="true" hidden="false" outlineLevel="0" max="13" min="13" style="0" width="32"/>
    <col collapsed="false" customWidth="true" hidden="false" outlineLevel="0" max="14" min="14" style="0" width="4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3" t="n">
        <v>25080018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n">
        <f aca="false">1-(VALUE(SUBSTITUTE(J2,"k",""))/VALUE(SUBSTITUTE(H2,"k","")))</f>
        <v>0.285714285714286</v>
      </c>
      <c r="J2" s="3" t="s">
        <v>21</v>
      </c>
      <c r="K2" s="3" t="n">
        <v>1</v>
      </c>
      <c r="L2" s="3"/>
      <c r="M2" s="3" t="s">
        <v>22</v>
      </c>
      <c r="N2" s="3" t="s">
        <v>23</v>
      </c>
    </row>
    <row r="3" customFormat="false" ht="23.85" hidden="false" customHeight="false" outlineLevel="0" collapsed="false">
      <c r="A3" s="2" t="s">
        <v>24</v>
      </c>
      <c r="B3" s="5" t="n">
        <v>25090029</v>
      </c>
      <c r="C3" s="5" t="s">
        <v>15</v>
      </c>
      <c r="D3" s="5" t="s">
        <v>25</v>
      </c>
      <c r="E3" s="5" t="s">
        <v>17</v>
      </c>
      <c r="F3" s="5" t="s">
        <v>26</v>
      </c>
      <c r="G3" s="5" t="s">
        <v>27</v>
      </c>
      <c r="H3" s="5" t="s">
        <v>20</v>
      </c>
      <c r="I3" s="6" t="n">
        <f aca="false">1-(VALUE(SUBSTITUTE(J3,"k",""))/VALUE(SUBSTITUTE(H3,"k","")))</f>
        <v>0.285714285714286</v>
      </c>
      <c r="J3" s="5" t="s">
        <v>21</v>
      </c>
      <c r="K3" s="5" t="n">
        <v>1</v>
      </c>
      <c r="L3" s="5"/>
      <c r="M3" s="5" t="s">
        <v>28</v>
      </c>
      <c r="N3" s="5" t="s">
        <v>29</v>
      </c>
    </row>
    <row r="4" customFormat="false" ht="23.85" hidden="false" customHeight="false" outlineLevel="0" collapsed="false">
      <c r="A4" s="2" t="s">
        <v>30</v>
      </c>
      <c r="B4" s="3" t="n">
        <v>25990029</v>
      </c>
      <c r="C4" s="3" t="s">
        <v>15</v>
      </c>
      <c r="D4" s="3" t="s">
        <v>31</v>
      </c>
      <c r="E4" s="3" t="s">
        <v>17</v>
      </c>
      <c r="F4" s="3" t="s">
        <v>32</v>
      </c>
      <c r="G4" s="3" t="s">
        <v>27</v>
      </c>
      <c r="H4" s="3" t="s">
        <v>20</v>
      </c>
      <c r="I4" s="4" t="n">
        <f aca="false">1-(VALUE(SUBSTITUTE(J4,"k",""))/VALUE(SUBSTITUTE(H4,"k","")))</f>
        <v>0.285714285714286</v>
      </c>
      <c r="J4" s="3" t="s">
        <v>21</v>
      </c>
      <c r="K4" s="3" t="n">
        <v>1</v>
      </c>
      <c r="L4" s="3"/>
      <c r="M4" s="3" t="s">
        <v>33</v>
      </c>
      <c r="N4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2026-08-08T19:27:08Z</dcterms:created>
  <dc:creator>openpyxl</dc:creator>
  <dc:description/>
  <dc:language>en-US</dc:language>
  <cp:lastModifiedBy/>
  <dcterms:modified xsi:type="dcterms:W3CDTF">2026-08-08T19:27:59Z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